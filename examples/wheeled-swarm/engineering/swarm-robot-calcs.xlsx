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-Drive-Power" sheetId="1" state="visible" r:id="rId1"/>
  </sheets>
  <definedNames>
    <definedName name="_xlnm.Print_Area" localSheetId="0">'Weight-Drive-Power'!$A$1:$D$41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B6B7D"/>
      <sz val="9"/>
    </font>
    <font>
      <b val="1"/>
      <color rgb="00FFFFFF"/>
    </font>
    <font>
      <b val="1"/>
    </font>
    <font>
      <b val="1"/>
      <color rgb="001F3B63"/>
    </font>
    <font>
      <color rgb="005B6B7D"/>
      <sz val="9"/>
    </font>
  </fonts>
  <fills count="6">
    <fill>
      <patternFill/>
    </fill>
    <fill>
      <patternFill patternType="gray125"/>
    </fill>
    <fill>
      <patternFill patternType="solid">
        <fgColor rgb="000B0E14"/>
      </patternFill>
    </fill>
    <fill>
      <patternFill patternType="solid">
        <fgColor rgb="001F3B63"/>
      </patternFill>
    </fill>
    <fill>
      <patternFill patternType="solid">
        <fgColor rgb="00FFF2C2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5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8" customWidth="1" min="3" max="3"/>
    <col width="46" customWidth="1" min="4" max="4"/>
  </cols>
  <sheetData>
    <row r="1">
      <c r="A1" s="1" t="inlineStr">
        <is>
          <t>Differential-Drive Swarm Robot — Weight · Drive · Power</t>
        </is>
      </c>
    </row>
    <row r="2">
      <c r="A2" s="2" t="inlineStr">
        <is>
          <t>Yellow = edit these for your parts. Everything else auto-calculates. Realistic TT-motor estimates — verify against your own parts &amp; a quick motor test.</t>
        </is>
      </c>
    </row>
    <row r="4">
      <c r="A4" s="3" t="inlineStr">
        <is>
          <t>1)  WEIGHT</t>
        </is>
      </c>
    </row>
    <row r="5">
      <c r="A5" s="4" t="inlineStr">
        <is>
          <t>Component</t>
        </is>
      </c>
      <c r="B5" s="5" t="inlineStr">
        <is>
          <t>Qty</t>
        </is>
      </c>
      <c r="C5" s="5" t="inlineStr">
        <is>
          <t>Unit g</t>
        </is>
      </c>
      <c r="D5" s="5" t="inlineStr">
        <is>
          <t>Total g</t>
        </is>
      </c>
    </row>
    <row r="6">
      <c r="A6" s="6" t="inlineStr">
        <is>
          <t>Chassis (3D-printed, ~40% infill)</t>
        </is>
      </c>
      <c r="B6" s="7" t="n">
        <v>1</v>
      </c>
      <c r="C6" s="8" t="n">
        <v>15</v>
      </c>
      <c r="D6" s="9">
        <f>B6*C6</f>
        <v/>
      </c>
    </row>
    <row r="7">
      <c r="A7" s="6" t="inlineStr">
        <is>
          <t>TT gear motor + wheel</t>
        </is>
      </c>
      <c r="B7" s="7" t="n">
        <v>4</v>
      </c>
      <c r="C7" s="8" t="n">
        <v>35</v>
      </c>
      <c r="D7" s="9">
        <f>B7*C7</f>
        <v/>
      </c>
    </row>
    <row r="8">
      <c r="A8" s="6" t="inlineStr">
        <is>
          <t>Motor driver (DRV8833)</t>
        </is>
      </c>
      <c r="B8" s="7" t="n">
        <v>1</v>
      </c>
      <c r="C8" s="8" t="n">
        <v>2</v>
      </c>
      <c r="D8" s="9">
        <f>B8*C8</f>
        <v/>
      </c>
    </row>
    <row r="9">
      <c r="A9" s="6" t="inlineStr">
        <is>
          <t>ESP32 board</t>
        </is>
      </c>
      <c r="B9" s="7" t="n">
        <v>1</v>
      </c>
      <c r="C9" s="8" t="n">
        <v>8</v>
      </c>
      <c r="D9" s="9">
        <f>B9*C9</f>
        <v/>
      </c>
    </row>
    <row r="10">
      <c r="A10" s="6" t="inlineStr">
        <is>
          <t>HC-SR04 ultrasonic sensor</t>
        </is>
      </c>
      <c r="B10" s="7" t="n">
        <v>1</v>
      </c>
      <c r="C10" s="8" t="n">
        <v>9</v>
      </c>
      <c r="D10" s="9">
        <f>B10*C10</f>
        <v/>
      </c>
    </row>
    <row r="11">
      <c r="A11" s="6" t="inlineStr">
        <is>
          <t>Wiring / connectors</t>
        </is>
      </c>
      <c r="B11" s="7" t="n">
        <v>1</v>
      </c>
      <c r="C11" s="8" t="n">
        <v>6</v>
      </c>
      <c r="D11" s="9">
        <f>B11*C11</f>
        <v/>
      </c>
    </row>
    <row r="12">
      <c r="A12" s="6" t="inlineStr">
        <is>
          <t>ArUco tag (paper)</t>
        </is>
      </c>
      <c r="B12" s="7" t="n">
        <v>1</v>
      </c>
      <c r="C12" s="8" t="n">
        <v>0.5</v>
      </c>
      <c r="D12" s="9">
        <f>B12*C12</f>
        <v/>
      </c>
    </row>
    <row r="13">
      <c r="A13" s="10" t="inlineStr">
        <is>
          <t>Dry mass (no battery)</t>
        </is>
      </c>
      <c r="D13" s="11">
        <f>SUM(D6:D12)</f>
        <v/>
      </c>
    </row>
    <row r="14">
      <c r="A14" s="6" t="inlineStr">
        <is>
          <t>Battery (4×AA holder + cells)</t>
        </is>
      </c>
      <c r="B14" s="7" t="n">
        <v>1</v>
      </c>
      <c r="C14" s="8" t="n">
        <v>100</v>
      </c>
      <c r="D14" s="9">
        <f>B14*C14</f>
        <v/>
      </c>
    </row>
    <row r="15">
      <c r="A15" s="12" t="inlineStr">
        <is>
          <t>ALL-UP MASS</t>
        </is>
      </c>
      <c r="D15" s="13">
        <f>D13+D14</f>
        <v/>
      </c>
    </row>
    <row r="17">
      <c r="A17" s="3" t="inlineStr">
        <is>
          <t>2)  DRIVE  (speed + torque)</t>
        </is>
      </c>
    </row>
    <row r="18">
      <c r="A18" s="6" t="inlineStr">
        <is>
          <t>Motor no-load speed</t>
        </is>
      </c>
      <c r="B18" s="7" t="n">
        <v>200</v>
      </c>
      <c r="C18" s="14" t="inlineStr">
        <is>
          <t>rpm</t>
        </is>
      </c>
      <c r="D18" s="15" t="inlineStr">
        <is>
          <t>input — TT motor @ your pack voltage</t>
        </is>
      </c>
    </row>
    <row r="19">
      <c r="A19" s="6" t="inlineStr">
        <is>
          <t>Motor stall torque</t>
        </is>
      </c>
      <c r="B19" s="16" t="n">
        <v>0.078</v>
      </c>
      <c r="C19" s="14" t="inlineStr">
        <is>
          <t>N·m</t>
        </is>
      </c>
      <c r="D19" s="15" t="inlineStr">
        <is>
          <t>input — ~0.8 kg·cm for a TT motor</t>
        </is>
      </c>
    </row>
    <row r="20">
      <c r="A20" s="6" t="inlineStr">
        <is>
          <t>Wheel radius</t>
        </is>
      </c>
      <c r="B20" s="16" t="n">
        <v>0.033</v>
      </c>
      <c r="C20" s="14" t="inlineStr">
        <is>
          <t>m</t>
        </is>
      </c>
      <c r="D20" s="15" t="inlineStr">
        <is>
          <t>input — 66 mm wheel</t>
        </is>
      </c>
    </row>
    <row r="21">
      <c r="A21" s="6" t="inlineStr">
        <is>
          <t>Loaded-speed fraction</t>
        </is>
      </c>
      <c r="B21" s="17" t="n">
        <v>0.5</v>
      </c>
      <c r="C21" s="14" t="inlineStr"/>
      <c r="D21" s="15" t="inlineStr">
        <is>
          <t>of no-load, under load</t>
        </is>
      </c>
    </row>
    <row r="22">
      <c r="A22" s="6" t="inlineStr">
        <is>
          <t>Rolling-resistance coeff</t>
        </is>
      </c>
      <c r="B22" s="17" t="n">
        <v>0.06</v>
      </c>
      <c r="C22" s="14" t="inlineStr"/>
      <c r="D22" s="15" t="inlineStr">
        <is>
          <t>input — hard floor ~0.02-0.08</t>
        </is>
      </c>
    </row>
    <row r="23">
      <c r="A23" s="6" t="inlineStr">
        <is>
          <t>Max (no-load) speed</t>
        </is>
      </c>
      <c r="B23" s="18">
        <f>B18/60*2*PI()*B20</f>
        <v/>
      </c>
      <c r="C23" s="14" t="inlineStr">
        <is>
          <t>m/s</t>
        </is>
      </c>
    </row>
    <row r="24">
      <c r="A24" s="6" t="inlineStr">
        <is>
          <t>Expected cruise speed</t>
        </is>
      </c>
      <c r="B24" s="18">
        <f>B23*B21</f>
        <v/>
      </c>
      <c r="C24" s="14" t="inlineStr">
        <is>
          <t>m/s</t>
        </is>
      </c>
    </row>
    <row r="25">
      <c r="A25" s="6" t="inlineStr">
        <is>
          <t>Rolling resistance force</t>
        </is>
      </c>
      <c r="B25" s="18">
        <f>B22*D15/1000*9.81</f>
        <v/>
      </c>
      <c r="C25" s="14" t="inlineStr">
        <is>
          <t>N</t>
        </is>
      </c>
    </row>
    <row r="26">
      <c r="A26" s="6" t="inlineStr">
        <is>
          <t>Torque needed per wheel</t>
        </is>
      </c>
      <c r="B26" s="19">
        <f>B25/2*B20</f>
        <v/>
      </c>
      <c r="C26" s="14" t="inlineStr">
        <is>
          <t>N·m</t>
        </is>
      </c>
      <c r="D26" s="15" t="inlineStr">
        <is>
          <t>to keep it rolling</t>
        </is>
      </c>
    </row>
    <row r="27">
      <c r="A27" s="6" t="inlineStr">
        <is>
          <t>Torque margin (stall / needed)</t>
        </is>
      </c>
      <c r="B27" s="9">
        <f>B19/B26</f>
        <v/>
      </c>
      <c r="C27" s="14" t="inlineStr">
        <is>
          <t>×</t>
        </is>
      </c>
      <c r="D27" s="15" t="inlineStr">
        <is>
          <t>how much spare torque you have</t>
        </is>
      </c>
    </row>
    <row r="29">
      <c r="A29" s="3" t="inlineStr">
        <is>
          <t>3)  POWER / RUNTIME</t>
        </is>
      </c>
    </row>
    <row r="30">
      <c r="A30" s="6" t="inlineStr">
        <is>
          <t>Motor running current (each)</t>
        </is>
      </c>
      <c r="B30" s="17" t="n">
        <v>0.2</v>
      </c>
      <c r="C30" s="14" t="inlineStr">
        <is>
          <t>A</t>
        </is>
      </c>
      <c r="D30" s="15" t="inlineStr">
        <is>
          <t>input — TT motor, light load</t>
        </is>
      </c>
    </row>
    <row r="31">
      <c r="A31" s="6" t="inlineStr">
        <is>
          <t>Number of motors</t>
        </is>
      </c>
      <c r="B31" s="7" t="n">
        <v>4</v>
      </c>
      <c r="C31" s="14" t="inlineStr"/>
    </row>
    <row r="32">
      <c r="A32" s="6" t="inlineStr">
        <is>
          <t>Electronics current (ESP32+ToF)</t>
        </is>
      </c>
      <c r="B32" s="17" t="n">
        <v>0.12</v>
      </c>
      <c r="C32" s="14" t="inlineStr">
        <is>
          <t>A</t>
        </is>
      </c>
    </row>
    <row r="33">
      <c r="A33" s="6" t="inlineStr">
        <is>
          <t>Battery capacity</t>
        </is>
      </c>
      <c r="B33" s="7" t="n">
        <v>2000</v>
      </c>
      <c r="C33" s="14" t="inlineStr">
        <is>
          <t>mAh</t>
        </is>
      </c>
      <c r="D33" s="15" t="inlineStr">
        <is>
          <t>input — 4×AA NiMH ~2000, LiPo varies</t>
        </is>
      </c>
    </row>
    <row r="34">
      <c r="A34" s="6" t="inlineStr">
        <is>
          <t>Usable capacity fraction</t>
        </is>
      </c>
      <c r="B34" s="17" t="n">
        <v>0.8</v>
      </c>
      <c r="C34" s="14" t="inlineStr"/>
    </row>
    <row r="35">
      <c r="A35" s="6" t="inlineStr">
        <is>
          <t>Total current (driving)</t>
        </is>
      </c>
      <c r="B35" s="18">
        <f>B30*B31+B32</f>
        <v/>
      </c>
      <c r="C35" s="14" t="inlineStr">
        <is>
          <t>A</t>
        </is>
      </c>
    </row>
    <row r="36">
      <c r="A36" s="6" t="inlineStr">
        <is>
          <t>Estimated run time</t>
        </is>
      </c>
      <c r="B36" s="20">
        <f>B33*B34/(B35*1000)*60</f>
        <v/>
      </c>
      <c r="C36" s="14" t="inlineStr">
        <is>
          <t>min</t>
        </is>
      </c>
    </row>
    <row r="38">
      <c r="A38" s="3" t="inlineStr">
        <is>
          <t>4)  VERDICT</t>
        </is>
      </c>
    </row>
    <row r="39">
      <c r="A39" s="21" t="inlineStr">
        <is>
          <t>Can it drive its own weight?</t>
        </is>
      </c>
      <c r="B39" s="22">
        <f>IF(B27&gt;=3,"YES — "&amp;TEXT(B27,"0")&amp;"× torque margin","MARGINAL — "&amp;TEXT(B27,"0.0")&amp;"×; lighter build or geared motor")</f>
        <v/>
      </c>
    </row>
    <row r="40">
      <c r="A40" s="21" t="inlineStr">
        <is>
          <t>Cruise speed</t>
        </is>
      </c>
      <c r="B40" s="22">
        <f>TEXT(B24*100,"0")&amp;" cm/s (plenty for a camera-tracked swarm)"</f>
        <v/>
      </c>
    </row>
    <row r="41">
      <c r="A41" s="21" t="inlineStr">
        <is>
          <t>Run time</t>
        </is>
      </c>
      <c r="B41" s="22">
        <f>TEXT(B36,"0")&amp;" min per charge"</f>
        <v/>
      </c>
    </row>
  </sheetData>
  <mergeCells count="9">
    <mergeCell ref="A1:D1"/>
    <mergeCell ref="A17:D17"/>
    <mergeCell ref="B41:D41"/>
    <mergeCell ref="A4:D4"/>
    <mergeCell ref="A38:D38"/>
    <mergeCell ref="B40:D40"/>
    <mergeCell ref="A29:D29"/>
    <mergeCell ref="A2:D2"/>
    <mergeCell ref="B39:D3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2026-07-24T10:20:01Z</dcterms:created>
  <dcterms:modified xsi:type="dcterms:W3CDTF">2026-07-24T10:20:01Z</dcterms:modified>
</cp:coreProperties>
</file>