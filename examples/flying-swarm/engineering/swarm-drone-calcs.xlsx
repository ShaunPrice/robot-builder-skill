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-Weight-Po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B6B7D"/>
      <sz val="9"/>
    </font>
    <font>
      <b val="1"/>
      <color rgb="00FFFFFF"/>
    </font>
    <font>
      <b val="1"/>
    </font>
    <font>
      <b val="1"/>
      <color rgb="001F3B63"/>
    </font>
    <font>
      <color rgb="005B6B7D"/>
      <sz val="9"/>
    </font>
  </fonts>
  <fills count="6">
    <fill>
      <patternFill/>
    </fill>
    <fill>
      <patternFill patternType="gray125"/>
    </fill>
    <fill>
      <patternFill patternType="solid">
        <fgColor rgb="000B0E14"/>
      </patternFill>
    </fill>
    <fill>
      <patternFill patternType="solid">
        <fgColor rgb="001F3B63"/>
      </patternFill>
    </fill>
    <fill>
      <patternFill patternType="solid">
        <fgColor rgb="00FFF2C2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164" fontId="4" fillId="0" borderId="1" applyAlignment="1" pivotButton="0" quotePrefix="0" xfId="0">
      <alignment horizontal="center" vertical="center"/>
    </xf>
    <xf numFmtId="0" fontId="5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2" fontId="0" fillId="4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4" fillId="5" borderId="1" pivotButton="0" quotePrefix="0" xfId="0"/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8" customWidth="1" min="3" max="3"/>
    <col width="46" customWidth="1" min="4" max="4"/>
  </cols>
  <sheetData>
    <row r="1">
      <c r="A1" s="1" t="inlineStr">
        <is>
          <t>ESP32 Brushed Micro-Quad — Motor · Weight · Power</t>
        </is>
      </c>
    </row>
    <row r="2">
      <c r="A2" s="2" t="inlineStr">
        <is>
          <t>Yellow = edit these for your parts. Everything else auto-calculates. Values are realistic estimates — verify against your own motor test &amp; part weights.</t>
        </is>
      </c>
    </row>
    <row r="4">
      <c r="A4" s="3" t="inlineStr">
        <is>
          <t>1)  WEIGHT BUDGET</t>
        </is>
      </c>
    </row>
    <row r="5">
      <c r="A5" s="4" t="inlineStr">
        <is>
          <t>Component</t>
        </is>
      </c>
      <c r="B5" s="5" t="inlineStr">
        <is>
          <t>Qty</t>
        </is>
      </c>
      <c r="C5" s="5" t="inlineStr">
        <is>
          <t>Unit g</t>
        </is>
      </c>
      <c r="D5" s="5" t="inlineStr">
        <is>
          <t>Total g</t>
        </is>
      </c>
    </row>
    <row r="6">
      <c r="A6" s="6" t="inlineStr">
        <is>
          <t>Frame (3D-printed, ~40% infill)</t>
        </is>
      </c>
      <c r="B6" s="7" t="n">
        <v>1</v>
      </c>
      <c r="C6" s="8" t="n">
        <v>2.8</v>
      </c>
      <c r="D6" s="9">
        <f>B6*C6</f>
        <v/>
      </c>
    </row>
    <row r="7">
      <c r="A7" s="6" t="inlineStr">
        <is>
          <t>Coreless motor 8.5×20 mm</t>
        </is>
      </c>
      <c r="B7" s="7" t="n">
        <v>4</v>
      </c>
      <c r="C7" s="8" t="n">
        <v>4.8</v>
      </c>
      <c r="D7" s="9">
        <f>B7*C7</f>
        <v/>
      </c>
    </row>
    <row r="8">
      <c r="A8" s="6" t="inlineStr">
        <is>
          <t>Propeller 65 mm</t>
        </is>
      </c>
      <c r="B8" s="7" t="n">
        <v>4</v>
      </c>
      <c r="C8" s="8" t="n">
        <v>0.5</v>
      </c>
      <c r="D8" s="9">
        <f>B8*C8</f>
        <v/>
      </c>
    </row>
    <row r="9">
      <c r="A9" s="6" t="inlineStr">
        <is>
          <t>ESP32 board (XIAO-C3 class)</t>
        </is>
      </c>
      <c r="B9" s="7" t="n">
        <v>1</v>
      </c>
      <c r="C9" s="8" t="n">
        <v>3</v>
      </c>
      <c r="D9" s="9">
        <f>B9*C9</f>
        <v/>
      </c>
    </row>
    <row r="10">
      <c r="A10" s="6" t="inlineStr">
        <is>
          <t>IMU MPU-6050 (trimmed module)</t>
        </is>
      </c>
      <c r="B10" s="7" t="n">
        <v>1</v>
      </c>
      <c r="C10" s="8" t="n">
        <v>1.5</v>
      </c>
      <c r="D10" s="9">
        <f>B10*C10</f>
        <v/>
      </c>
    </row>
    <row r="11">
      <c r="A11" s="6" t="inlineStr">
        <is>
          <t>MOSFET driver (4× SI2302)</t>
        </is>
      </c>
      <c r="B11" s="7" t="n">
        <v>1</v>
      </c>
      <c r="C11" s="8" t="n">
        <v>2</v>
      </c>
      <c r="D11" s="9">
        <f>B11*C11</f>
        <v/>
      </c>
    </row>
    <row r="12">
      <c r="A12" s="6" t="inlineStr">
        <is>
          <t>Wiring / connectors / heatshrink</t>
        </is>
      </c>
      <c r="B12" s="7" t="n">
        <v>1</v>
      </c>
      <c r="C12" s="8" t="n">
        <v>3</v>
      </c>
      <c r="D12" s="9">
        <f>B12*C12</f>
        <v/>
      </c>
    </row>
    <row r="13">
      <c r="A13" s="10" t="inlineStr">
        <is>
          <t>Dry mass (no battery)</t>
        </is>
      </c>
      <c r="D13" s="11">
        <f>SUM(D6:D12)</f>
        <v/>
      </c>
    </row>
    <row r="14">
      <c r="A14" s="6" t="inlineStr">
        <is>
          <t>Battery — 1S LiPo 300 mAh</t>
        </is>
      </c>
      <c r="B14" s="7" t="n">
        <v>1</v>
      </c>
      <c r="C14" s="8" t="n">
        <v>8</v>
      </c>
      <c r="D14" s="9">
        <f>B14*C14</f>
        <v/>
      </c>
    </row>
    <row r="15">
      <c r="A15" s="12" t="inlineStr">
        <is>
          <t>ALL-UP WEIGHT (AUW)</t>
        </is>
      </c>
      <c r="D15" s="13">
        <f>D13+D14</f>
        <v/>
      </c>
    </row>
    <row r="17">
      <c r="A17" s="3" t="inlineStr">
        <is>
          <t>2)  MOTOR / THRUST</t>
        </is>
      </c>
    </row>
    <row r="18">
      <c r="A18" s="6" t="inlineStr">
        <is>
          <t>Motor thrust @ 100% (per motor)</t>
        </is>
      </c>
      <c r="B18" s="8" t="n">
        <v>25</v>
      </c>
      <c r="C18" s="14" t="inlineStr">
        <is>
          <t>g</t>
        </is>
      </c>
      <c r="D18" s="15" t="inlineStr">
        <is>
          <t>input — bench-test with a scale</t>
        </is>
      </c>
    </row>
    <row r="19">
      <c r="A19" s="6" t="inlineStr">
        <is>
          <t>Motor current @ 100% (per motor)</t>
        </is>
      </c>
      <c r="B19" s="16" t="n">
        <v>1.8</v>
      </c>
      <c r="C19" s="14" t="inlineStr">
        <is>
          <t>A</t>
        </is>
      </c>
      <c r="D19" s="15" t="inlineStr">
        <is>
          <t>input — measure at full throttle</t>
        </is>
      </c>
    </row>
    <row r="20">
      <c r="A20" s="6" t="inlineStr">
        <is>
          <t>Number of motors</t>
        </is>
      </c>
      <c r="B20" s="7" t="n">
        <v>4</v>
      </c>
      <c r="C20" s="14" t="inlineStr"/>
    </row>
    <row r="21">
      <c r="A21" s="6" t="inlineStr">
        <is>
          <t>Total max thrust</t>
        </is>
      </c>
      <c r="B21" s="9">
        <f>B18*B20</f>
        <v/>
      </c>
      <c r="C21" s="14" t="inlineStr">
        <is>
          <t>g</t>
        </is>
      </c>
    </row>
    <row r="22">
      <c r="A22" s="6" t="inlineStr">
        <is>
          <t>Thrust-to-weight ratio (T/W)</t>
        </is>
      </c>
      <c r="B22" s="17">
        <f>B21/D15</f>
        <v/>
      </c>
      <c r="C22" s="14" t="inlineStr"/>
      <c r="D22" s="15" t="inlineStr">
        <is>
          <t>target ≥ 2.0 : 1 for a controllable quad</t>
        </is>
      </c>
    </row>
    <row r="23">
      <c r="A23" s="6" t="inlineStr">
        <is>
          <t>Hover thrust required per motor</t>
        </is>
      </c>
      <c r="B23" s="9">
        <f>D15/B20</f>
        <v/>
      </c>
      <c r="C23" s="14" t="inlineStr">
        <is>
          <t>g</t>
        </is>
      </c>
    </row>
    <row r="24">
      <c r="A24" s="6" t="inlineStr">
        <is>
          <t>Hover thrust fraction</t>
        </is>
      </c>
      <c r="B24" s="17">
        <f>B23/B18</f>
        <v/>
      </c>
      <c r="C24" s="14" t="inlineStr"/>
      <c r="D24" s="15" t="inlineStr">
        <is>
          <t>share of full thrust needed to hover</t>
        </is>
      </c>
    </row>
    <row r="26">
      <c r="A26" s="3" t="inlineStr">
        <is>
          <t>3)  POWER / BATTERY</t>
        </is>
      </c>
    </row>
    <row r="27">
      <c r="A27" s="6" t="inlineStr">
        <is>
          <t>Cells in series (S)</t>
        </is>
      </c>
      <c r="B27" s="7" t="n">
        <v>1</v>
      </c>
      <c r="C27" s="14" t="inlineStr"/>
    </row>
    <row r="28">
      <c r="A28" s="6" t="inlineStr">
        <is>
          <t>Nominal cell voltage</t>
        </is>
      </c>
      <c r="B28" s="8" t="n">
        <v>3.7</v>
      </c>
      <c r="C28" s="14" t="inlineStr">
        <is>
          <t>V</t>
        </is>
      </c>
    </row>
    <row r="29">
      <c r="A29" s="6" t="inlineStr">
        <is>
          <t>Battery capacity</t>
        </is>
      </c>
      <c r="B29" s="7" t="n">
        <v>300</v>
      </c>
      <c r="C29" s="14" t="inlineStr">
        <is>
          <t>mAh</t>
        </is>
      </c>
      <c r="D29" s="15" t="inlineStr">
        <is>
          <t>input</t>
        </is>
      </c>
    </row>
    <row r="30">
      <c r="A30" s="6" t="inlineStr">
        <is>
          <t>Discharge C-rating</t>
        </is>
      </c>
      <c r="B30" s="7" t="n">
        <v>30</v>
      </c>
      <c r="C30" s="14" t="inlineStr">
        <is>
          <t>C</t>
        </is>
      </c>
      <c r="D30" s="15" t="inlineStr">
        <is>
          <t>input — high-C whoop pack, NOT a protected pack</t>
        </is>
      </c>
    </row>
    <row r="31">
      <c r="A31" s="6" t="inlineStr">
        <is>
          <t>Usable capacity fraction</t>
        </is>
      </c>
      <c r="B31" s="16" t="n">
        <v>0.8</v>
      </c>
      <c r="C31" s="14" t="inlineStr"/>
      <c r="D31" s="15" t="inlineStr">
        <is>
          <t>never run a LiPo flat</t>
        </is>
      </c>
    </row>
    <row r="32">
      <c r="A32" s="6" t="inlineStr">
        <is>
          <t>Electronics current (ESP32 + IMU)</t>
        </is>
      </c>
      <c r="B32" s="16" t="n">
        <v>0.15</v>
      </c>
      <c r="C32" s="14" t="inlineStr">
        <is>
          <t>A</t>
        </is>
      </c>
    </row>
    <row r="33">
      <c r="A33" s="6" t="inlineStr">
        <is>
          <t>Pack nominal voltage</t>
        </is>
      </c>
      <c r="B33" s="9">
        <f>B27*B28</f>
        <v/>
      </c>
      <c r="C33" s="14" t="inlineStr">
        <is>
          <t>V</t>
        </is>
      </c>
    </row>
    <row r="34">
      <c r="A34" s="6" t="inlineStr">
        <is>
          <t>Peak current the pack can supply</t>
        </is>
      </c>
      <c r="B34" s="17">
        <f>B29/1000*B30</f>
        <v/>
      </c>
      <c r="C34" s="14" t="inlineStr">
        <is>
          <t>A</t>
        </is>
      </c>
      <c r="D34" s="15" t="inlineStr">
        <is>
          <t>capacity(Ah) × C-rating</t>
        </is>
      </c>
    </row>
    <row r="35">
      <c r="A35" s="6" t="inlineStr">
        <is>
          <t>Full-throttle current (motors + electronics)</t>
        </is>
      </c>
      <c r="B35" s="17">
        <f>B19*B20+B32</f>
        <v/>
      </c>
      <c r="C35" s="14" t="inlineStr">
        <is>
          <t>A</t>
        </is>
      </c>
    </row>
    <row r="36">
      <c r="A36" s="6" t="inlineStr">
        <is>
          <t>Hover current per motor (approx)</t>
        </is>
      </c>
      <c r="B36" s="17">
        <f>B19*B24^1.5</f>
        <v/>
      </c>
      <c r="C36" s="14" t="inlineStr">
        <is>
          <t>A</t>
        </is>
      </c>
      <c r="D36" s="15" t="inlineStr">
        <is>
          <t>current ≈ full × fraction^1.5</t>
        </is>
      </c>
    </row>
    <row r="37">
      <c r="A37" s="6" t="inlineStr">
        <is>
          <t>Hover current total</t>
        </is>
      </c>
      <c r="B37" s="17">
        <f>B36*B20+B32</f>
        <v/>
      </c>
      <c r="C37" s="14" t="inlineStr">
        <is>
          <t>A</t>
        </is>
      </c>
    </row>
    <row r="38">
      <c r="A38" s="6" t="inlineStr">
        <is>
          <t>Hover power</t>
        </is>
      </c>
      <c r="B38" s="9">
        <f>B33*B37</f>
        <v/>
      </c>
      <c r="C38" s="14" t="inlineStr">
        <is>
          <t>W</t>
        </is>
      </c>
    </row>
    <row r="39">
      <c r="A39" s="6" t="inlineStr">
        <is>
          <t>Estimated hover flight time</t>
        </is>
      </c>
      <c r="B39" s="9">
        <f>B29*B31/(B37*1000)*60</f>
        <v/>
      </c>
      <c r="C39" s="14" t="inlineStr">
        <is>
          <t>min</t>
        </is>
      </c>
    </row>
    <row r="40">
      <c r="A40" s="6" t="inlineStr">
        <is>
          <t>Hover efficiency</t>
        </is>
      </c>
      <c r="B40" s="9">
        <f>D15/B38</f>
        <v/>
      </c>
      <c r="C40" s="14" t="inlineStr">
        <is>
          <t>g/W</t>
        </is>
      </c>
    </row>
    <row r="42">
      <c r="A42" s="3" t="inlineStr">
        <is>
          <t>4)  VERDICT / CHECKS</t>
        </is>
      </c>
    </row>
    <row r="43">
      <c r="A43" s="18" t="inlineStr">
        <is>
          <t>Thrust-to-weight</t>
        </is>
      </c>
      <c r="B43" s="19">
        <f>IF(B22&gt;=2,"PASS — controllable ("&amp;TEXT(B22,"0.0")&amp;":1)","LOW ("&amp;TEXT(B22,"0.0")&amp;":1) — add thrust or cut weight")</f>
        <v/>
      </c>
    </row>
    <row r="44">
      <c r="A44" s="18" t="inlineStr">
        <is>
          <t>Battery can supply full throttle</t>
        </is>
      </c>
      <c r="B44" s="19">
        <f>IF(B34&gt;=B35,"PASS — "&amp;TEXT(B34-B35,"0.0")&amp;" A margin","FAIL — pack short by "&amp;TEXT(B35-B34,"0.0")&amp;" A; use higher C or bigger pack")</f>
        <v/>
      </c>
    </row>
    <row r="45">
      <c r="A45" s="18" t="inlineStr">
        <is>
          <t>Hover throttle headroom</t>
        </is>
      </c>
      <c r="B45" s="19">
        <f>IF(B24&lt;=0.6,"PASS — "&amp;TEXT(B24*100,"0")&amp;"% hover throttle, good control margin","HIGH — "&amp;TEXT(B24*100,"0")&amp;"% hover, little control margin")</f>
        <v/>
      </c>
    </row>
    <row r="46">
      <c r="A46" s="18" t="inlineStr">
        <is>
          <t>Estimated endurance</t>
        </is>
      </c>
      <c r="B46" s="19">
        <f>TEXT(B39,"0.0")&amp;" min hover (less in wind / aggressive flight)"</f>
        <v/>
      </c>
    </row>
  </sheetData>
  <mergeCells count="10">
    <mergeCell ref="A1:D1"/>
    <mergeCell ref="A17:D17"/>
    <mergeCell ref="B45:D45"/>
    <mergeCell ref="B46:D46"/>
    <mergeCell ref="A4:D4"/>
    <mergeCell ref="A26:D26"/>
    <mergeCell ref="B44:D44"/>
    <mergeCell ref="A2:D2"/>
    <mergeCell ref="B43:D43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2026-07-24T07:16:49Z</dcterms:created>
  <dcterms:modified xsi:type="dcterms:W3CDTF">2026-07-24T07:16:49Z</dcterms:modified>
</cp:coreProperties>
</file>